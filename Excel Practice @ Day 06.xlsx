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ish satya\AppData\Local\Packages\5319275A.WhatsAppDesktop_cv1g1gvanyjgm\LocalState\sessions\41D3A249FB1C298356B622C3582DAF5E0AC8799F\transfers\2026-39\"/>
    </mc:Choice>
  </mc:AlternateContent>
  <xr:revisionPtr revIDLastSave="0" documentId="13_ncr:1_{FD83F1C1-B8D4-46D4-BE5B-D9853CF9DA3D}" xr6:coauthVersionLast="47" xr6:coauthVersionMax="47" xr10:uidLastSave="{00000000-0000-0000-0000-000000000000}"/>
  <bookViews>
    <workbookView xWindow="-120" yWindow="-120" windowWidth="29040" windowHeight="15720" activeTab="1" xr2:uid="{E03010A2-10A4-4CD2-AD45-567A05CD1053}"/>
  </bookViews>
  <sheets>
    <sheet name="Adv.Xlookup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F56" i="2"/>
  <c r="F55" i="2"/>
  <c r="F54" i="2"/>
  <c r="I47" i="2"/>
  <c r="I49" i="2"/>
  <c r="H41" i="2"/>
  <c r="I44" i="2"/>
  <c r="H39" i="2"/>
  <c r="J7" i="1"/>
  <c r="H38" i="2"/>
  <c r="H37" i="2"/>
  <c r="E36" i="2"/>
  <c r="E35" i="2"/>
  <c r="E34" i="2"/>
  <c r="E33" i="2"/>
  <c r="E30" i="2"/>
  <c r="E27" i="2"/>
  <c r="E24" i="2"/>
  <c r="K2" i="1"/>
  <c r="J4" i="1"/>
  <c r="J2" i="1"/>
  <c r="J3" i="1"/>
  <c r="E7" i="1"/>
  <c r="D23" i="1" a="1"/>
  <c r="D23" i="1" s="1"/>
  <c r="E22" i="1"/>
  <c r="F22" i="1"/>
  <c r="G22" i="1"/>
  <c r="D22" i="1"/>
  <c r="J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<sst xmlns="http://schemas.openxmlformats.org/spreadsheetml/2006/main" count="196" uniqueCount="137">
  <si>
    <t>Employee</t>
  </si>
  <si>
    <t>Department</t>
  </si>
  <si>
    <t>Rahul</t>
  </si>
  <si>
    <t>IT</t>
  </si>
  <si>
    <t>Priya</t>
  </si>
  <si>
    <t>HR</t>
  </si>
  <si>
    <t>Finance</t>
  </si>
  <si>
    <t>Sneha</t>
  </si>
  <si>
    <t>Sales</t>
  </si>
  <si>
    <t>Minimum Sales</t>
  </si>
  <si>
    <t>Commission</t>
  </si>
  <si>
    <t>Employee Name</t>
  </si>
  <si>
    <t>Rahul Sharma</t>
  </si>
  <si>
    <t>Rahul Verma</t>
  </si>
  <si>
    <t>Priya Reddy</t>
  </si>
  <si>
    <t>Priya Sharma</t>
  </si>
  <si>
    <t>Find the name beginning with Rahul</t>
  </si>
  <si>
    <t>Emp_ID</t>
  </si>
  <si>
    <t>Employee_Name</t>
  </si>
  <si>
    <t>Email</t>
  </si>
  <si>
    <t>Location</t>
  </si>
  <si>
    <t>Joining_Date</t>
  </si>
  <si>
    <t>DOB</t>
  </si>
  <si>
    <t>Employee_Code</t>
  </si>
  <si>
    <t>Salary</t>
  </si>
  <si>
    <t>E101</t>
  </si>
  <si>
    <t>rahul sharma</t>
  </si>
  <si>
    <t>rahul.sharma@gmail.com</t>
  </si>
  <si>
    <t>Hyderabad</t>
  </si>
  <si>
    <t>HYD-SAL-101</t>
  </si>
  <si>
    <t>E102</t>
  </si>
  <si>
    <t>PRIYA REDDY</t>
  </si>
  <si>
    <t>priya.reddy@gmail.com</t>
  </si>
  <si>
    <t>HYD-FIN-102</t>
  </si>
  <si>
    <t>E103</t>
  </si>
  <si>
    <t>anil kumar</t>
  </si>
  <si>
    <t>anil.kumar@gmail.com</t>
  </si>
  <si>
    <t>Bangalore</t>
  </si>
  <si>
    <t>BLR-IT-103</t>
  </si>
  <si>
    <t>E104</t>
  </si>
  <si>
    <t>Sneha Rao</t>
  </si>
  <si>
    <t>sneha.rao@yahoo.com</t>
  </si>
  <si>
    <t>Chennai</t>
  </si>
  <si>
    <t>CHE-HR-104</t>
  </si>
  <si>
    <t>E105</t>
  </si>
  <si>
    <t>arjun verma</t>
  </si>
  <si>
    <t>arjun.verma@gmail.com</t>
  </si>
  <si>
    <t>HYD-IT-105</t>
  </si>
  <si>
    <t>E106</t>
  </si>
  <si>
    <t>MEENA DEVI</t>
  </si>
  <si>
    <t>meena.devi@gmail.com</t>
  </si>
  <si>
    <t>Mumbai</t>
  </si>
  <si>
    <t>MUM-SAL-106</t>
  </si>
  <si>
    <t>E107</t>
  </si>
  <si>
    <t>Kiran Reddy</t>
  </si>
  <si>
    <t>kiran.reddy@yahoo.com</t>
  </si>
  <si>
    <t>BLR-FIN-107</t>
  </si>
  <si>
    <t>E108</t>
  </si>
  <si>
    <t>rohit kumar</t>
  </si>
  <si>
    <t>rohit.kumar@gmail.com</t>
  </si>
  <si>
    <t>Marketing</t>
  </si>
  <si>
    <t>HYD-MKT-108</t>
  </si>
  <si>
    <t>E109</t>
  </si>
  <si>
    <t>ANJALI SHARMA</t>
  </si>
  <si>
    <t>anjali.sharma@gmail.com</t>
  </si>
  <si>
    <t>MUM-HR-109</t>
  </si>
  <si>
    <t>E110</t>
  </si>
  <si>
    <t>Vikram Singh</t>
  </si>
  <si>
    <t>vikram.singh@yahoo.com</t>
  </si>
  <si>
    <t>CHE-IT-110</t>
  </si>
  <si>
    <t>E111</t>
  </si>
  <si>
    <t>Neha Patel</t>
  </si>
  <si>
    <t>neha.patel@gmail.com</t>
  </si>
  <si>
    <t>HYD-SAL-111</t>
  </si>
  <si>
    <t>E112</t>
  </si>
  <si>
    <t>AMIT GUPTA</t>
  </si>
  <si>
    <t>amit.gupta@gmail.com</t>
  </si>
  <si>
    <t>MUM-FIN-112</t>
  </si>
  <si>
    <t>E113</t>
  </si>
  <si>
    <t>pooja nair</t>
  </si>
  <si>
    <t>pooja.nair@yahoo.com</t>
  </si>
  <si>
    <t>BLR-MKT-113</t>
  </si>
  <si>
    <t>E114</t>
  </si>
  <si>
    <t>Suresh Babu</t>
  </si>
  <si>
    <t>suresh.babu@gmail.com</t>
  </si>
  <si>
    <t>HYD-IT-114</t>
  </si>
  <si>
    <t>E115</t>
  </si>
  <si>
    <t>DIVYA REDDY</t>
  </si>
  <si>
    <t>divya.reddy@gmail.com</t>
  </si>
  <si>
    <t>CHE-HR-115</t>
  </si>
  <si>
    <t>E116</t>
  </si>
  <si>
    <t>Naveen Kumar</t>
  </si>
  <si>
    <t>naveen.kumar@yahoo.com</t>
  </si>
  <si>
    <t>MUM-SAL-116</t>
  </si>
  <si>
    <t>E117</t>
  </si>
  <si>
    <t>Swathi Rao</t>
  </si>
  <si>
    <t>swathi.rao@gmail.com</t>
  </si>
  <si>
    <t>HYD-FIN-117</t>
  </si>
  <si>
    <t>E118</t>
  </si>
  <si>
    <t>RAHUL VERMA</t>
  </si>
  <si>
    <t>rahul.verma@gmail.com</t>
  </si>
  <si>
    <t>CHE-MKT-118</t>
  </si>
  <si>
    <t>1. Extract the first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</si>
  <si>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HYD</t>
    </r>
  </si>
  <si>
    <t>2. Extract the last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</si>
  <si>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101</t>
    </r>
  </si>
  <si>
    <t>3. Extract the department code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</si>
  <si>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SAL</t>
    </r>
  </si>
  <si>
    <t>4. Find the number of characters in each employee's name.</t>
  </si>
  <si>
    <t>5. Remove unnecessary spaces from the Employee Name column.</t>
  </si>
  <si>
    <t>6. Convert all employee names into proper capitalization.</t>
  </si>
  <si>
    <r>
      <t xml:space="preserve">Example: </t>
    </r>
    <r>
      <rPr>
        <sz val="10"/>
        <color theme="1"/>
        <rFont val="Arial Unicode MS"/>
      </rPr>
      <t>rahul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 Sharma</t>
    </r>
  </si>
  <si>
    <t>7. Clean the employee names by removing unnecessary spaces and converting them into proper capitalization.</t>
  </si>
  <si>
    <r>
      <t xml:space="preserve">8. Find the position of the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 symbol in each employee's email address.</t>
    </r>
  </si>
  <si>
    <t>9. Extract the username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</si>
  <si>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rahul.sharma</t>
    </r>
  </si>
  <si>
    <t>10. Extract the domain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</si>
  <si>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gmail.com</t>
    </r>
  </si>
  <si>
    <r>
      <t xml:space="preserve">11. Check whether each employee's email address belongs to Gmail or another email provider. Display either </t>
    </r>
    <r>
      <rPr>
        <sz val="10"/>
        <color theme="1"/>
        <rFont val="Arial Unicode MS"/>
      </rPr>
      <t>Gmail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</si>
  <si>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t>12. Create a new column containing the Employee ID and Employee Name in the following format:</t>
  </si>
  <si>
    <t>E101 - Rahul Sharma</t>
  </si>
  <si>
    <t>13. Create a new column in the following format:</t>
  </si>
  <si>
    <t>Rahul Sharma | Sales | Hyderabad</t>
  </si>
  <si>
    <r>
      <t xml:space="preserve">14. Replace </t>
    </r>
    <r>
      <rPr>
        <sz val="10"/>
        <color theme="1"/>
        <rFont val="Arial Unicode MS"/>
      </rPr>
      <t>gmail.com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company.com</t>
    </r>
    <r>
      <rPr>
        <sz val="11"/>
        <color theme="1"/>
        <rFont val="Calibri"/>
        <family val="2"/>
        <scheme val="minor"/>
      </rPr>
      <t xml:space="preserve"> in the email addresses.</t>
    </r>
  </si>
  <si>
    <t>Date &amp; Time Questions</t>
  </si>
  <si>
    <t>15. Extract the day from each employee's Joining Date.</t>
  </si>
  <si>
    <t>16. Extract the month number from each employee's Joining Date.</t>
  </si>
  <si>
    <t>17. Extract the year from each employee's Joining Date.</t>
  </si>
  <si>
    <t>18. Create a new column showing the year in which each employee joined.</t>
  </si>
  <si>
    <t>19. Create a new column showing the month in which each employee joined.</t>
  </si>
  <si>
    <r>
      <t xml:space="preserve">Example: </t>
    </r>
    <r>
      <rPr>
        <sz val="10"/>
        <color theme="1"/>
        <rFont val="Arial Unicode MS"/>
      </rPr>
      <t>15-Jan-2022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January</t>
    </r>
  </si>
  <si>
    <t>20. Display each employee's Joining Date in the format:</t>
  </si>
  <si>
    <t>21. Calculate the current age of each employee using their Date of Birth.</t>
  </si>
  <si>
    <t>Employee ID</t>
  </si>
  <si>
    <t>Anil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</si>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</sst>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2" fillId="0" borderId="0" xfId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17" fontId="3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0" fillId="0" borderId="0" xfId="0" applyNumberFormat="1"/>
    <xf numFmtId="0" fontId="0" fillId="0" borderId="2" xfId="0" applyFont="1" applyBorder="1"/>
    <xf numFmtId="0" fontId="0" fillId="0" borderId="3" xfId="0" applyFont="1" applyBorder="1"/>
    <xf numFmtId="0" fontId="7" fillId="2" borderId="4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0" fillId="3" borderId="4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0" fontId="2" fillId="3" borderId="5" xfId="1" applyFont="1" applyFill="1" applyBorder="1" applyAlignment="1">
      <alignment vertical="center" wrapText="1"/>
    </xf>
    <xf numFmtId="15" fontId="0" fillId="3" borderId="5" xfId="0" applyNumberFormat="1" applyFont="1" applyFill="1" applyBorder="1" applyAlignment="1">
      <alignment vertical="center" wrapText="1"/>
    </xf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2" fillId="0" borderId="5" xfId="1" applyFont="1" applyBorder="1" applyAlignment="1">
      <alignment vertical="center" wrapText="1"/>
    </xf>
    <xf numFmtId="15" fontId="0" fillId="0" borderId="5" xfId="0" applyNumberFormat="1" applyFont="1" applyBorder="1" applyAlignment="1">
      <alignment vertical="center" wrapText="1"/>
    </xf>
    <xf numFmtId="0" fontId="0" fillId="0" borderId="5" xfId="0" applyFont="1" applyBorder="1"/>
    <xf numFmtId="0" fontId="0" fillId="0" borderId="6" xfId="0" applyFont="1" applyBorder="1"/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2" fillId="0" borderId="2" xfId="1" applyFont="1" applyBorder="1" applyAlignment="1">
      <alignment vertical="center" wrapText="1"/>
    </xf>
    <xf numFmtId="15" fontId="0" fillId="0" borderId="2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.kumar@gmail.com" TargetMode="External"/><Relationship Id="rId13" Type="http://schemas.openxmlformats.org/officeDocument/2006/relationships/hyperlink" Target="mailto:pooja.nair@yahoo.com" TargetMode="External"/><Relationship Id="rId18" Type="http://schemas.openxmlformats.org/officeDocument/2006/relationships/hyperlink" Target="mailto:rahul.verma@gmail.com" TargetMode="External"/><Relationship Id="rId3" Type="http://schemas.openxmlformats.org/officeDocument/2006/relationships/hyperlink" Target="mailto:anil.kumar@gmail.com" TargetMode="External"/><Relationship Id="rId7" Type="http://schemas.openxmlformats.org/officeDocument/2006/relationships/hyperlink" Target="mailto:kiran.reddy@yahoo.com" TargetMode="External"/><Relationship Id="rId12" Type="http://schemas.openxmlformats.org/officeDocument/2006/relationships/hyperlink" Target="mailto:amit.gupta@gmail.com" TargetMode="External"/><Relationship Id="rId17" Type="http://schemas.openxmlformats.org/officeDocument/2006/relationships/hyperlink" Target="mailto:swathi.rao@gmail.com" TargetMode="External"/><Relationship Id="rId2" Type="http://schemas.openxmlformats.org/officeDocument/2006/relationships/hyperlink" Target="mailto:priya.reddy@gmail.com" TargetMode="External"/><Relationship Id="rId16" Type="http://schemas.openxmlformats.org/officeDocument/2006/relationships/hyperlink" Target="mailto:naveen.kumar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meena.devi@gmail.com" TargetMode="External"/><Relationship Id="rId11" Type="http://schemas.openxmlformats.org/officeDocument/2006/relationships/hyperlink" Target="mailto:neha.patel@gmail.com" TargetMode="External"/><Relationship Id="rId5" Type="http://schemas.openxmlformats.org/officeDocument/2006/relationships/hyperlink" Target="mailto:arjun.verma@gmail.com" TargetMode="External"/><Relationship Id="rId15" Type="http://schemas.openxmlformats.org/officeDocument/2006/relationships/hyperlink" Target="mailto:divya.reddy@gmail.com" TargetMode="External"/><Relationship Id="rId10" Type="http://schemas.openxmlformats.org/officeDocument/2006/relationships/hyperlink" Target="mailto:vikram.singh@yahoo.com" TargetMode="External"/><Relationship Id="rId4" Type="http://schemas.openxmlformats.org/officeDocument/2006/relationships/hyperlink" Target="mailto:sneha.rao@yahoo.com" TargetMode="External"/><Relationship Id="rId9" Type="http://schemas.openxmlformats.org/officeDocument/2006/relationships/hyperlink" Target="mailto:anjali.sharma@gmail.com" TargetMode="External"/><Relationship Id="rId14" Type="http://schemas.openxmlformats.org/officeDocument/2006/relationships/hyperlink" Target="mailto:suresh.bab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4FAF-4C65-477A-B58A-2E8F65EC416C}">
  <dimension ref="A1:K23"/>
  <sheetViews>
    <sheetView workbookViewId="0">
      <selection activeCell="J7" sqref="J7"/>
    </sheetView>
  </sheetViews>
  <sheetFormatPr defaultRowHeight="15"/>
  <cols>
    <col min="1" max="1" width="15.85546875" customWidth="1"/>
    <col min="2" max="2" width="18.5703125" customWidth="1"/>
    <col min="3" max="3" width="15.7109375" customWidth="1"/>
    <col min="4" max="4" width="15.28515625" customWidth="1"/>
    <col min="5" max="5" width="14.42578125" customWidth="1"/>
    <col min="6" max="6" width="16" customWidth="1"/>
    <col min="9" max="9" width="15" customWidth="1"/>
    <col min="10" max="10" width="19.140625" customWidth="1"/>
  </cols>
  <sheetData>
    <row r="1" spans="1:11" ht="30">
      <c r="A1" s="2" t="s">
        <v>0</v>
      </c>
      <c r="B1" s="2" t="s">
        <v>1</v>
      </c>
      <c r="E1" s="2" t="s">
        <v>9</v>
      </c>
      <c r="F1" s="2" t="s">
        <v>10</v>
      </c>
      <c r="I1" s="2" t="s">
        <v>11</v>
      </c>
    </row>
    <row r="2" spans="1:11">
      <c r="A2" s="1" t="s">
        <v>2</v>
      </c>
      <c r="B2" s="1" t="s">
        <v>3</v>
      </c>
      <c r="E2" s="1">
        <v>0</v>
      </c>
      <c r="F2" s="4">
        <v>0.02</v>
      </c>
      <c r="I2" s="3" t="s">
        <v>12</v>
      </c>
      <c r="J2" t="str">
        <f>_xlfn.XLOOKUP("Rahul",A2:A5,B2:B5,,2,1)</f>
        <v>IT</v>
      </c>
      <c r="K2" t="e">
        <f>_xlfn.XLOOKUP(I2,A2:A5,B2:B5,,2,1)</f>
        <v>#N/A</v>
      </c>
    </row>
    <row r="3" spans="1:11">
      <c r="A3" s="1" t="s">
        <v>4</v>
      </c>
      <c r="B3" s="1" t="s">
        <v>5</v>
      </c>
      <c r="E3" s="1">
        <v>10000</v>
      </c>
      <c r="F3" s="4">
        <v>0.05</v>
      </c>
      <c r="I3" s="3" t="s">
        <v>13</v>
      </c>
      <c r="J3" t="str">
        <f>_xlfn.XLOOKUP("Rahul",A3:A6,B3:B6,,2,-1)</f>
        <v>Finance</v>
      </c>
    </row>
    <row r="4" spans="1:11">
      <c r="A4" s="1" t="s">
        <v>2</v>
      </c>
      <c r="B4" s="1" t="s">
        <v>6</v>
      </c>
      <c r="E4" s="1">
        <v>25000</v>
      </c>
      <c r="F4" s="4">
        <v>0.08</v>
      </c>
      <c r="I4" s="3" t="s">
        <v>14</v>
      </c>
      <c r="J4" t="str">
        <f>_xlfn.XLOOKUP(A3,A2:A5,B2:B5,,2,1)</f>
        <v>HR</v>
      </c>
    </row>
    <row r="5" spans="1:11">
      <c r="A5" s="1" t="s">
        <v>7</v>
      </c>
      <c r="B5" s="1" t="s">
        <v>8</v>
      </c>
      <c r="E5" s="1">
        <v>50000</v>
      </c>
      <c r="F5" s="4">
        <v>0.1</v>
      </c>
      <c r="I5" s="3" t="s">
        <v>15</v>
      </c>
    </row>
    <row r="6" spans="1:11">
      <c r="E6" s="1">
        <v>100000</v>
      </c>
      <c r="F6" s="4">
        <v>0.15</v>
      </c>
    </row>
    <row r="7" spans="1:11" ht="45">
      <c r="E7">
        <f>_xlfn.XLOOKUP(E5,E2:E6,F2:F6,,-1,1)</f>
        <v>0.1</v>
      </c>
      <c r="I7" s="3" t="s">
        <v>16</v>
      </c>
      <c r="J7" t="str">
        <f>_xlfn.XLOOKUP(A2 &amp; "*",A2:A5,I2:I5,,2,1)</f>
        <v>Rahul Sharma</v>
      </c>
    </row>
    <row r="13" spans="1:11" ht="37.5">
      <c r="A13" s="11" t="s">
        <v>133</v>
      </c>
      <c r="B13" s="11" t="s">
        <v>11</v>
      </c>
      <c r="C13" s="11" t="s">
        <v>1</v>
      </c>
      <c r="D13" s="11" t="s">
        <v>20</v>
      </c>
      <c r="E13" s="11" t="s">
        <v>24</v>
      </c>
    </row>
    <row r="14" spans="1:11" ht="18.75">
      <c r="A14" s="12" t="s">
        <v>25</v>
      </c>
      <c r="B14" s="12" t="s">
        <v>4</v>
      </c>
      <c r="C14" s="12" t="s">
        <v>5</v>
      </c>
      <c r="D14" s="12" t="s">
        <v>28</v>
      </c>
      <c r="E14" s="12">
        <v>40000</v>
      </c>
      <c r="J14" t="str">
        <f>_xlfn.XLOOKUP(B16,B14:B17,D14:D17,0,0,1)</f>
        <v>Chennai</v>
      </c>
    </row>
    <row r="15" spans="1:11" ht="18.75">
      <c r="A15" s="12" t="s">
        <v>30</v>
      </c>
      <c r="B15" s="12" t="s">
        <v>2</v>
      </c>
      <c r="C15" s="12" t="s">
        <v>3</v>
      </c>
      <c r="D15" s="12" t="s">
        <v>37</v>
      </c>
      <c r="E15" s="12">
        <v>55000</v>
      </c>
    </row>
    <row r="16" spans="1:11" ht="18.75">
      <c r="A16" s="12" t="s">
        <v>34</v>
      </c>
      <c r="B16" s="12" t="s">
        <v>134</v>
      </c>
      <c r="C16" s="12" t="s">
        <v>6</v>
      </c>
      <c r="D16" s="12" t="s">
        <v>42</v>
      </c>
      <c r="E16" s="12">
        <v>48000</v>
      </c>
    </row>
    <row r="17" spans="1:7" ht="18.75">
      <c r="A17" s="12" t="s">
        <v>39</v>
      </c>
      <c r="B17" s="12" t="s">
        <v>7</v>
      </c>
      <c r="C17" s="12" t="s">
        <v>8</v>
      </c>
      <c r="D17" s="12" t="s">
        <v>28</v>
      </c>
      <c r="E17" s="12">
        <v>42000</v>
      </c>
    </row>
    <row r="21" spans="1:7" ht="37.5">
      <c r="C21" s="11" t="s">
        <v>133</v>
      </c>
      <c r="D21" s="11" t="s">
        <v>11</v>
      </c>
      <c r="E21" s="11" t="s">
        <v>1</v>
      </c>
      <c r="F21" s="11" t="s">
        <v>20</v>
      </c>
      <c r="G21" s="11" t="s">
        <v>24</v>
      </c>
    </row>
    <row r="22" spans="1:7">
      <c r="C22" t="s">
        <v>25</v>
      </c>
      <c r="D22" t="str">
        <f>_xlfn.XLOOKUP(C22,A14:A17,B14:B17,0,0,1)</f>
        <v>Priya</v>
      </c>
      <c r="E22" t="str">
        <f t="shared" ref="E22:G22" si="0">_xlfn.XLOOKUP(D22,B14:B17,C14:C17,0,0,1)</f>
        <v>HR</v>
      </c>
      <c r="F22" t="str">
        <f t="shared" si="0"/>
        <v>Hyderabad</v>
      </c>
      <c r="G22">
        <f t="shared" si="0"/>
        <v>40000</v>
      </c>
    </row>
    <row r="23" spans="1:7">
      <c r="C23" t="s">
        <v>44</v>
      </c>
      <c r="D23" t="str" cm="1">
        <f t="array" ref="D23">_xlfn.XLOOKUP(C23,A14:A17,A14:E17,"NO EMPLOYEE",0,1)</f>
        <v>NO EMPLOYEE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552C-E74D-411A-A738-C82F54F25F60}">
  <dimension ref="A1:L62"/>
  <sheetViews>
    <sheetView tabSelected="1" workbookViewId="0">
      <selection activeCell="J1" sqref="J1"/>
    </sheetView>
  </sheetViews>
  <sheetFormatPr defaultRowHeight="15"/>
  <cols>
    <col min="1" max="1" width="20.28515625" customWidth="1"/>
    <col min="2" max="2" width="20.7109375" customWidth="1"/>
    <col min="3" max="3" width="24.28515625" customWidth="1"/>
    <col min="4" max="4" width="15.42578125" customWidth="1"/>
    <col min="5" max="5" width="14" customWidth="1"/>
    <col min="6" max="6" width="16.140625" customWidth="1"/>
    <col min="7" max="7" width="16.28515625" customWidth="1"/>
    <col min="8" max="8" width="18.5703125" customWidth="1"/>
    <col min="9" max="9" width="12.85546875" customWidth="1"/>
    <col min="10" max="10" width="14.42578125" customWidth="1"/>
    <col min="11" max="11" width="10.140625" customWidth="1"/>
  </cols>
  <sheetData>
    <row r="1" spans="1:12">
      <c r="A1" s="16" t="s">
        <v>17</v>
      </c>
      <c r="B1" s="17" t="s">
        <v>18</v>
      </c>
      <c r="C1" s="17" t="s">
        <v>19</v>
      </c>
      <c r="D1" s="17" t="s">
        <v>1</v>
      </c>
      <c r="E1" s="17" t="s">
        <v>20</v>
      </c>
      <c r="F1" s="17" t="s">
        <v>21</v>
      </c>
      <c r="G1" s="17" t="s">
        <v>22</v>
      </c>
      <c r="H1" s="17" t="s">
        <v>23</v>
      </c>
      <c r="I1" s="17" t="s">
        <v>24</v>
      </c>
      <c r="J1" s="17" t="s">
        <v>135</v>
      </c>
      <c r="K1" s="18" t="s">
        <v>136</v>
      </c>
    </row>
    <row r="2" spans="1:12">
      <c r="A2" s="19" t="s">
        <v>25</v>
      </c>
      <c r="B2" s="20" t="s">
        <v>26</v>
      </c>
      <c r="C2" s="21" t="s">
        <v>27</v>
      </c>
      <c r="D2" s="20" t="s">
        <v>8</v>
      </c>
      <c r="E2" s="20" t="s">
        <v>28</v>
      </c>
      <c r="F2" s="22">
        <v>44576</v>
      </c>
      <c r="G2" s="22">
        <v>34862</v>
      </c>
      <c r="H2" s="20" t="s">
        <v>29</v>
      </c>
      <c r="I2" s="20">
        <v>45000</v>
      </c>
      <c r="J2" s="23">
        <f>YEAR(F2)</f>
        <v>2022</v>
      </c>
      <c r="K2" s="24" t="str">
        <f>TEXT(F2,"mmmm")</f>
        <v>January</v>
      </c>
      <c r="L2" t="str">
        <f>TEXT(F2,"MMM-YY")</f>
        <v>Jan-22</v>
      </c>
    </row>
    <row r="3" spans="1:12">
      <c r="A3" s="25" t="s">
        <v>30</v>
      </c>
      <c r="B3" s="26" t="s">
        <v>31</v>
      </c>
      <c r="C3" s="27" t="s">
        <v>32</v>
      </c>
      <c r="D3" s="26" t="s">
        <v>6</v>
      </c>
      <c r="E3" s="26" t="s">
        <v>28</v>
      </c>
      <c r="F3" s="28">
        <v>44277</v>
      </c>
      <c r="G3" s="28">
        <v>33821</v>
      </c>
      <c r="H3" s="26" t="s">
        <v>33</v>
      </c>
      <c r="I3" s="26">
        <v>52000</v>
      </c>
      <c r="J3" s="29">
        <f t="shared" ref="J3:J19" si="0">YEAR(F3)</f>
        <v>2021</v>
      </c>
      <c r="K3" s="30" t="str">
        <f t="shared" ref="K3:K19" si="1">TEXT(F3,"mmmm")</f>
        <v>March</v>
      </c>
      <c r="L3" t="str">
        <f t="shared" ref="L3:L19" si="2">TEXT(F3,"MMM-YY")</f>
        <v>Mar-21</v>
      </c>
    </row>
    <row r="4" spans="1:12">
      <c r="A4" s="19" t="s">
        <v>34</v>
      </c>
      <c r="B4" s="20" t="s">
        <v>35</v>
      </c>
      <c r="C4" s="21" t="s">
        <v>36</v>
      </c>
      <c r="D4" s="20" t="s">
        <v>3</v>
      </c>
      <c r="E4" s="20" t="s">
        <v>37</v>
      </c>
      <c r="F4" s="22">
        <v>45117</v>
      </c>
      <c r="G4" s="22">
        <v>35844</v>
      </c>
      <c r="H4" s="20" t="s">
        <v>38</v>
      </c>
      <c r="I4" s="20">
        <v>48000</v>
      </c>
      <c r="J4" s="23">
        <f t="shared" si="0"/>
        <v>2023</v>
      </c>
      <c r="K4" s="24" t="str">
        <f t="shared" si="1"/>
        <v>July</v>
      </c>
      <c r="L4" t="str">
        <f t="shared" si="2"/>
        <v>Jul-23</v>
      </c>
    </row>
    <row r="5" spans="1:12">
      <c r="A5" s="25" t="s">
        <v>39</v>
      </c>
      <c r="B5" s="26" t="s">
        <v>40</v>
      </c>
      <c r="C5" s="27" t="s">
        <v>41</v>
      </c>
      <c r="D5" s="26" t="s">
        <v>5</v>
      </c>
      <c r="E5" s="26" t="s">
        <v>42</v>
      </c>
      <c r="F5" s="28">
        <v>43866</v>
      </c>
      <c r="G5" s="28">
        <v>33202</v>
      </c>
      <c r="H5" s="26" t="s">
        <v>43</v>
      </c>
      <c r="I5" s="26">
        <v>50000</v>
      </c>
      <c r="J5" s="29">
        <f t="shared" si="0"/>
        <v>2020</v>
      </c>
      <c r="K5" s="30" t="str">
        <f t="shared" si="1"/>
        <v>February</v>
      </c>
      <c r="L5" t="str">
        <f t="shared" si="2"/>
        <v>Feb-20</v>
      </c>
    </row>
    <row r="6" spans="1:12">
      <c r="A6" s="19" t="s">
        <v>44</v>
      </c>
      <c r="B6" s="20" t="s">
        <v>45</v>
      </c>
      <c r="C6" s="21" t="s">
        <v>46</v>
      </c>
      <c r="D6" s="20" t="s">
        <v>3</v>
      </c>
      <c r="E6" s="20" t="s">
        <v>28</v>
      </c>
      <c r="F6" s="22">
        <v>44822</v>
      </c>
      <c r="G6" s="22">
        <v>35154</v>
      </c>
      <c r="H6" s="20" t="s">
        <v>47</v>
      </c>
      <c r="I6" s="20">
        <v>60000</v>
      </c>
      <c r="J6" s="23">
        <f t="shared" si="0"/>
        <v>2022</v>
      </c>
      <c r="K6" s="24" t="str">
        <f t="shared" si="1"/>
        <v>September</v>
      </c>
      <c r="L6" t="str">
        <f t="shared" si="2"/>
        <v>Sep-22</v>
      </c>
    </row>
    <row r="7" spans="1:12">
      <c r="A7" s="25" t="s">
        <v>48</v>
      </c>
      <c r="B7" s="26" t="s">
        <v>49</v>
      </c>
      <c r="C7" s="27" t="s">
        <v>50</v>
      </c>
      <c r="D7" s="26" t="s">
        <v>8</v>
      </c>
      <c r="E7" s="26" t="s">
        <v>51</v>
      </c>
      <c r="F7" s="28">
        <v>45393</v>
      </c>
      <c r="G7" s="28">
        <v>36539</v>
      </c>
      <c r="H7" s="26" t="s">
        <v>52</v>
      </c>
      <c r="I7" s="26">
        <v>38000</v>
      </c>
      <c r="J7" s="29">
        <f t="shared" si="0"/>
        <v>2024</v>
      </c>
      <c r="K7" s="30" t="str">
        <f t="shared" si="1"/>
        <v>April</v>
      </c>
      <c r="L7" t="str">
        <f t="shared" si="2"/>
        <v>Apr-24</v>
      </c>
    </row>
    <row r="8" spans="1:12">
      <c r="A8" s="19" t="s">
        <v>53</v>
      </c>
      <c r="B8" s="20" t="s">
        <v>54</v>
      </c>
      <c r="C8" s="21" t="s">
        <v>55</v>
      </c>
      <c r="D8" s="20" t="s">
        <v>6</v>
      </c>
      <c r="E8" s="20" t="s">
        <v>37</v>
      </c>
      <c r="F8" s="22">
        <v>44527</v>
      </c>
      <c r="G8" s="22">
        <v>34171</v>
      </c>
      <c r="H8" s="20" t="s">
        <v>56</v>
      </c>
      <c r="I8" s="20">
        <v>57000</v>
      </c>
      <c r="J8" s="23">
        <f t="shared" si="0"/>
        <v>2021</v>
      </c>
      <c r="K8" s="24" t="str">
        <f t="shared" si="1"/>
        <v>November</v>
      </c>
      <c r="L8" t="str">
        <f t="shared" si="2"/>
        <v>Nov-21</v>
      </c>
    </row>
    <row r="9" spans="1:12">
      <c r="A9" s="25" t="s">
        <v>57</v>
      </c>
      <c r="B9" s="26" t="s">
        <v>58</v>
      </c>
      <c r="C9" s="27" t="s">
        <v>59</v>
      </c>
      <c r="D9" s="26" t="s">
        <v>60</v>
      </c>
      <c r="E9" s="26" t="s">
        <v>28</v>
      </c>
      <c r="F9" s="28">
        <v>44935</v>
      </c>
      <c r="G9" s="28">
        <v>35706</v>
      </c>
      <c r="H9" s="26" t="s">
        <v>61</v>
      </c>
      <c r="I9" s="26">
        <v>42000</v>
      </c>
      <c r="J9" s="29">
        <f t="shared" si="0"/>
        <v>2023</v>
      </c>
      <c r="K9" s="30" t="str">
        <f t="shared" si="1"/>
        <v>January</v>
      </c>
      <c r="L9" t="str">
        <f t="shared" si="2"/>
        <v>Jan-23</v>
      </c>
    </row>
    <row r="10" spans="1:12">
      <c r="A10" s="19" t="s">
        <v>62</v>
      </c>
      <c r="B10" s="20" t="s">
        <v>63</v>
      </c>
      <c r="C10" s="21" t="s">
        <v>64</v>
      </c>
      <c r="D10" s="20" t="s">
        <v>5</v>
      </c>
      <c r="E10" s="20" t="s">
        <v>51</v>
      </c>
      <c r="F10" s="22">
        <v>43996</v>
      </c>
      <c r="G10" s="22">
        <v>33374</v>
      </c>
      <c r="H10" s="20" t="s">
        <v>65</v>
      </c>
      <c r="I10" s="20">
        <v>55000</v>
      </c>
      <c r="J10" s="23">
        <f t="shared" si="0"/>
        <v>2020</v>
      </c>
      <c r="K10" s="24" t="str">
        <f t="shared" si="1"/>
        <v>June</v>
      </c>
      <c r="L10" t="str">
        <f t="shared" si="2"/>
        <v>Jun-20</v>
      </c>
    </row>
    <row r="11" spans="1:12">
      <c r="A11" s="25" t="s">
        <v>66</v>
      </c>
      <c r="B11" s="26" t="s">
        <v>67</v>
      </c>
      <c r="C11" s="27" t="s">
        <v>68</v>
      </c>
      <c r="D11" s="26" t="s">
        <v>3</v>
      </c>
      <c r="E11" s="26" t="s">
        <v>42</v>
      </c>
      <c r="F11" s="28">
        <v>45168</v>
      </c>
      <c r="G11" s="28">
        <v>36503</v>
      </c>
      <c r="H11" s="26" t="s">
        <v>69</v>
      </c>
      <c r="I11" s="26">
        <v>47000</v>
      </c>
      <c r="J11" s="29">
        <f t="shared" si="0"/>
        <v>2023</v>
      </c>
      <c r="K11" s="30" t="str">
        <f t="shared" si="1"/>
        <v>August</v>
      </c>
      <c r="L11" t="str">
        <f t="shared" si="2"/>
        <v>Aug-23</v>
      </c>
    </row>
    <row r="12" spans="1:12">
      <c r="A12" s="19" t="s">
        <v>70</v>
      </c>
      <c r="B12" s="20" t="s">
        <v>71</v>
      </c>
      <c r="C12" s="21" t="s">
        <v>72</v>
      </c>
      <c r="D12" s="20" t="s">
        <v>8</v>
      </c>
      <c r="E12" s="20" t="s">
        <v>28</v>
      </c>
      <c r="F12" s="22">
        <v>44604</v>
      </c>
      <c r="G12" s="22">
        <v>34451</v>
      </c>
      <c r="H12" s="20" t="s">
        <v>73</v>
      </c>
      <c r="I12" s="20">
        <v>46000</v>
      </c>
      <c r="J12" s="23">
        <f t="shared" si="0"/>
        <v>2022</v>
      </c>
      <c r="K12" s="24" t="str">
        <f t="shared" si="1"/>
        <v>February</v>
      </c>
      <c r="L12" t="str">
        <f t="shared" si="2"/>
        <v>Feb-22</v>
      </c>
    </row>
    <row r="13" spans="1:12">
      <c r="A13" s="25" t="s">
        <v>74</v>
      </c>
      <c r="B13" s="26" t="s">
        <v>75</v>
      </c>
      <c r="C13" s="27" t="s">
        <v>76</v>
      </c>
      <c r="D13" s="26" t="s">
        <v>6</v>
      </c>
      <c r="E13" s="26" t="s">
        <v>51</v>
      </c>
      <c r="F13" s="28">
        <v>44341</v>
      </c>
      <c r="G13" s="28">
        <v>32762</v>
      </c>
      <c r="H13" s="26" t="s">
        <v>77</v>
      </c>
      <c r="I13" s="26">
        <v>65000</v>
      </c>
      <c r="J13" s="29">
        <f t="shared" si="0"/>
        <v>2021</v>
      </c>
      <c r="K13" s="30" t="str">
        <f t="shared" si="1"/>
        <v>May</v>
      </c>
      <c r="L13" t="str">
        <f t="shared" si="2"/>
        <v>May-21</v>
      </c>
    </row>
    <row r="14" spans="1:12">
      <c r="A14" s="19" t="s">
        <v>78</v>
      </c>
      <c r="B14" s="20" t="s">
        <v>79</v>
      </c>
      <c r="C14" s="21" t="s">
        <v>80</v>
      </c>
      <c r="D14" s="20" t="s">
        <v>60</v>
      </c>
      <c r="E14" s="20" t="s">
        <v>37</v>
      </c>
      <c r="F14" s="22">
        <v>45572</v>
      </c>
      <c r="G14" s="22">
        <v>36910</v>
      </c>
      <c r="H14" s="20" t="s">
        <v>81</v>
      </c>
      <c r="I14" s="20">
        <v>40000</v>
      </c>
      <c r="J14" s="23">
        <f t="shared" si="0"/>
        <v>2024</v>
      </c>
      <c r="K14" s="24" t="str">
        <f t="shared" si="1"/>
        <v>October</v>
      </c>
      <c r="L14" t="str">
        <f t="shared" si="2"/>
        <v>Oct-24</v>
      </c>
    </row>
    <row r="15" spans="1:12">
      <c r="A15" s="25" t="s">
        <v>82</v>
      </c>
      <c r="B15" s="26" t="s">
        <v>83</v>
      </c>
      <c r="C15" s="27" t="s">
        <v>84</v>
      </c>
      <c r="D15" s="26" t="s">
        <v>3</v>
      </c>
      <c r="E15" s="26" t="s">
        <v>28</v>
      </c>
      <c r="F15" s="28">
        <v>44911</v>
      </c>
      <c r="G15" s="28">
        <v>34888</v>
      </c>
      <c r="H15" s="26" t="s">
        <v>85</v>
      </c>
      <c r="I15" s="26">
        <v>58000</v>
      </c>
      <c r="J15" s="29">
        <f t="shared" si="0"/>
        <v>2022</v>
      </c>
      <c r="K15" s="30" t="str">
        <f t="shared" si="1"/>
        <v>December</v>
      </c>
      <c r="L15" t="str">
        <f t="shared" si="2"/>
        <v>Dec-22</v>
      </c>
    </row>
    <row r="16" spans="1:12">
      <c r="A16" s="19" t="s">
        <v>86</v>
      </c>
      <c r="B16" s="20" t="s">
        <v>87</v>
      </c>
      <c r="C16" s="21" t="s">
        <v>88</v>
      </c>
      <c r="D16" s="20" t="s">
        <v>5</v>
      </c>
      <c r="E16" s="20" t="s">
        <v>42</v>
      </c>
      <c r="F16" s="22">
        <v>44988</v>
      </c>
      <c r="G16" s="22">
        <v>35756</v>
      </c>
      <c r="H16" s="20" t="s">
        <v>89</v>
      </c>
      <c r="I16" s="20">
        <v>43000</v>
      </c>
      <c r="J16" s="23">
        <f t="shared" si="0"/>
        <v>2023</v>
      </c>
      <c r="K16" s="24" t="str">
        <f t="shared" si="1"/>
        <v>March</v>
      </c>
      <c r="L16" t="str">
        <f t="shared" si="2"/>
        <v>Mar-23</v>
      </c>
    </row>
    <row r="17" spans="1:12" ht="30">
      <c r="A17" s="25" t="s">
        <v>90</v>
      </c>
      <c r="B17" s="26" t="s">
        <v>91</v>
      </c>
      <c r="C17" s="27" t="s">
        <v>92</v>
      </c>
      <c r="D17" s="26" t="s">
        <v>8</v>
      </c>
      <c r="E17" s="26" t="s">
        <v>51</v>
      </c>
      <c r="F17" s="28">
        <v>44001</v>
      </c>
      <c r="G17" s="28">
        <v>32919</v>
      </c>
      <c r="H17" s="26" t="s">
        <v>93</v>
      </c>
      <c r="I17" s="26">
        <v>51000</v>
      </c>
      <c r="J17" s="29">
        <f t="shared" si="0"/>
        <v>2020</v>
      </c>
      <c r="K17" s="30" t="str">
        <f t="shared" si="1"/>
        <v>June</v>
      </c>
      <c r="L17" t="str">
        <f t="shared" si="2"/>
        <v>Jun-20</v>
      </c>
    </row>
    <row r="18" spans="1:12">
      <c r="A18" s="19" t="s">
        <v>94</v>
      </c>
      <c r="B18" s="20" t="s">
        <v>95</v>
      </c>
      <c r="C18" s="21" t="s">
        <v>96</v>
      </c>
      <c r="D18" s="20" t="s">
        <v>6</v>
      </c>
      <c r="E18" s="20" t="s">
        <v>28</v>
      </c>
      <c r="F18" s="22">
        <v>45319</v>
      </c>
      <c r="G18" s="22">
        <v>36072</v>
      </c>
      <c r="H18" s="20" t="s">
        <v>97</v>
      </c>
      <c r="I18" s="20">
        <v>49000</v>
      </c>
      <c r="J18" s="23">
        <f t="shared" si="0"/>
        <v>2024</v>
      </c>
      <c r="K18" s="24" t="str">
        <f t="shared" si="1"/>
        <v>January</v>
      </c>
      <c r="L18" t="str">
        <f t="shared" si="2"/>
        <v>Jan-24</v>
      </c>
    </row>
    <row r="19" spans="1:12">
      <c r="A19" s="31" t="s">
        <v>98</v>
      </c>
      <c r="B19" s="32" t="s">
        <v>99</v>
      </c>
      <c r="C19" s="33" t="s">
        <v>100</v>
      </c>
      <c r="D19" s="32" t="s">
        <v>60</v>
      </c>
      <c r="E19" s="32" t="s">
        <v>42</v>
      </c>
      <c r="F19" s="34">
        <v>44421</v>
      </c>
      <c r="G19" s="34">
        <v>34118</v>
      </c>
      <c r="H19" s="32" t="s">
        <v>101</v>
      </c>
      <c r="I19" s="32">
        <v>53000</v>
      </c>
      <c r="J19" s="14">
        <f t="shared" si="0"/>
        <v>2021</v>
      </c>
      <c r="K19" s="15" t="str">
        <f t="shared" si="1"/>
        <v>August</v>
      </c>
      <c r="L19" t="str">
        <f t="shared" si="2"/>
        <v>Aug-21</v>
      </c>
    </row>
    <row r="20" spans="1:12">
      <c r="A20" s="3"/>
      <c r="B20" s="3"/>
      <c r="C20" s="5"/>
      <c r="D20" s="3"/>
      <c r="E20" s="3"/>
      <c r="F20" s="6"/>
      <c r="G20" s="3"/>
      <c r="H20" s="3"/>
      <c r="I20" s="3"/>
    </row>
    <row r="24" spans="1:12">
      <c r="B24" s="7" t="s">
        <v>102</v>
      </c>
      <c r="E24" t="str">
        <f>LEFT(H2,3)</f>
        <v>HYD</v>
      </c>
    </row>
    <row r="25" spans="1:12">
      <c r="B25" s="7" t="s">
        <v>103</v>
      </c>
    </row>
    <row r="26" spans="1:12">
      <c r="B26" s="7"/>
    </row>
    <row r="27" spans="1:12">
      <c r="B27" s="7" t="s">
        <v>104</v>
      </c>
      <c r="E27" t="str">
        <f>RIGHT(H2,3)</f>
        <v>101</v>
      </c>
    </row>
    <row r="28" spans="1:12">
      <c r="B28" s="7" t="s">
        <v>105</v>
      </c>
    </row>
    <row r="29" spans="1:12">
      <c r="B29" s="7"/>
    </row>
    <row r="30" spans="1:12">
      <c r="B30" s="7" t="s">
        <v>106</v>
      </c>
      <c r="E30" t="str">
        <f>MID(H2,5,3)</f>
        <v>SAL</v>
      </c>
    </row>
    <row r="31" spans="1:12">
      <c r="B31" s="7" t="s">
        <v>107</v>
      </c>
    </row>
    <row r="32" spans="1:12">
      <c r="B32" s="7"/>
    </row>
    <row r="33" spans="2:9">
      <c r="B33" s="7" t="s">
        <v>108</v>
      </c>
      <c r="E33">
        <f>LEN(B11)</f>
        <v>12</v>
      </c>
    </row>
    <row r="34" spans="2:9">
      <c r="B34" s="7" t="s">
        <v>109</v>
      </c>
      <c r="E34" t="str">
        <f>TRIM(B10)</f>
        <v>ANJALI SHARMA</v>
      </c>
    </row>
    <row r="35" spans="2:9">
      <c r="B35" s="7" t="s">
        <v>110</v>
      </c>
      <c r="E35" t="str">
        <f>UPPER(B11)</f>
        <v>VIKRAM SINGH</v>
      </c>
    </row>
    <row r="36" spans="2:9">
      <c r="B36" s="7" t="s">
        <v>111</v>
      </c>
      <c r="E36" t="str">
        <f>LOWER(B16)</f>
        <v>divya reddy</v>
      </c>
    </row>
    <row r="37" spans="2:9">
      <c r="B37" s="7" t="s">
        <v>112</v>
      </c>
      <c r="H37" t="str">
        <f>TRIM(UPPER(B14))</f>
        <v>POOJA NAIR</v>
      </c>
    </row>
    <row r="38" spans="2:9">
      <c r="B38" s="7" t="s">
        <v>113</v>
      </c>
      <c r="H38">
        <f>FIND("@",C17,1)</f>
        <v>13</v>
      </c>
    </row>
    <row r="39" spans="2:9">
      <c r="B39" s="7" t="s">
        <v>114</v>
      </c>
      <c r="H39" t="str">
        <f>LEFT(C17, FIND("@", C17) - 1)</f>
        <v>naveen.kumar</v>
      </c>
    </row>
    <row r="40" spans="2:9">
      <c r="B40" s="7" t="s">
        <v>115</v>
      </c>
    </row>
    <row r="41" spans="2:9">
      <c r="B41" s="7" t="s">
        <v>116</v>
      </c>
      <c r="H41" t="str">
        <f>RIGHT(C15, FIND("@", C15) -  3)</f>
        <v>gmail.com</v>
      </c>
    </row>
    <row r="42" spans="2:9">
      <c r="B42" s="7" t="s">
        <v>117</v>
      </c>
    </row>
    <row r="43" spans="2:9">
      <c r="B43" s="7" t="s">
        <v>118</v>
      </c>
    </row>
    <row r="44" spans="2:9">
      <c r="B44" s="7" t="s">
        <v>119</v>
      </c>
      <c r="I44" t="str">
        <f>_xlfn.CONCAT(A2 &amp; " - ",UPPER(B2))</f>
        <v>E101 - RAHUL SHARMA</v>
      </c>
    </row>
    <row r="45" spans="2:9">
      <c r="B45" s="8" t="s">
        <v>120</v>
      </c>
    </row>
    <row r="46" spans="2:9">
      <c r="B46" s="7" t="s">
        <v>121</v>
      </c>
    </row>
    <row r="47" spans="2:9">
      <c r="B47" s="8" t="s">
        <v>122</v>
      </c>
      <c r="I47" t="str">
        <f>_xlfn.CONCAT(UPPER(B2) &amp; " | ",D2 &amp; " | ",E2)</f>
        <v>RAHUL SHARMA | Sales | Hyderabad</v>
      </c>
    </row>
    <row r="48" spans="2:9">
      <c r="B48" s="7" t="s">
        <v>123</v>
      </c>
    </row>
    <row r="49" spans="2:9">
      <c r="I49" t="str">
        <f>REPLACE(C18,12,10,"company.com")</f>
        <v>swathi.rao@company.com</v>
      </c>
    </row>
    <row r="52" spans="2:9" ht="31.5">
      <c r="B52" s="9" t="s">
        <v>124</v>
      </c>
    </row>
    <row r="53" spans="2:9">
      <c r="B53" s="7"/>
    </row>
    <row r="54" spans="2:9">
      <c r="B54" s="7" t="s">
        <v>125</v>
      </c>
      <c r="F54">
        <f>DAY(F2)</f>
        <v>15</v>
      </c>
    </row>
    <row r="55" spans="2:9">
      <c r="B55" s="7" t="s">
        <v>126</v>
      </c>
      <c r="F55">
        <f>MONTH(F3)</f>
        <v>3</v>
      </c>
    </row>
    <row r="56" spans="2:9">
      <c r="B56" s="7" t="s">
        <v>127</v>
      </c>
      <c r="F56">
        <f>YEAR(F6)</f>
        <v>2022</v>
      </c>
    </row>
    <row r="57" spans="2:9">
      <c r="B57" s="7" t="s">
        <v>128</v>
      </c>
    </row>
    <row r="58" spans="2:9">
      <c r="B58" s="7" t="s">
        <v>129</v>
      </c>
    </row>
    <row r="59" spans="2:9">
      <c r="B59" s="7" t="s">
        <v>130</v>
      </c>
    </row>
    <row r="60" spans="2:9">
      <c r="B60" s="7" t="s">
        <v>131</v>
      </c>
    </row>
    <row r="61" spans="2:9">
      <c r="B61" s="10">
        <v>44562</v>
      </c>
    </row>
    <row r="62" spans="2:9">
      <c r="B62" s="7" t="s">
        <v>132</v>
      </c>
      <c r="F62" s="13">
        <f ca="1">YEAR(TODAY())-YEAR(G2)-IF(DATE(YEAR(TODAY()),MONTH(G2),DAY(G2))&gt;TODAY(),1,0)</f>
        <v>31</v>
      </c>
    </row>
  </sheetData>
  <hyperlinks>
    <hyperlink ref="C2" r:id="rId1" display="mailto:rahul.sharma@gmail.com" xr:uid="{1C3D5F69-312A-46FC-8DF4-852A62E9827F}"/>
    <hyperlink ref="C3" r:id="rId2" display="mailto:priya.reddy@gmail.com" xr:uid="{0FC4D80E-3CBB-4791-AE9B-F5080EDD2900}"/>
    <hyperlink ref="C4" r:id="rId3" display="mailto:anil.kumar@gmail.com" xr:uid="{BCFD3F2C-2646-4DF1-A711-BEE80CA40080}"/>
    <hyperlink ref="C5" r:id="rId4" display="mailto:sneha.rao@yahoo.com" xr:uid="{F70B1367-08F0-427C-8FCE-D91B96C8E8FC}"/>
    <hyperlink ref="C6" r:id="rId5" display="mailto:arjun.verma@gmail.com" xr:uid="{0B47202F-CA56-43C8-B032-DBD4422ED1CA}"/>
    <hyperlink ref="C7" r:id="rId6" display="mailto:meena.devi@gmail.com" xr:uid="{B1EEC86C-62F0-4C49-BEE4-01769DDF2205}"/>
    <hyperlink ref="C8" r:id="rId7" display="mailto:kiran.reddy@yahoo.com" xr:uid="{17B71614-A8F8-4C00-98EF-CE10B1EDD4E4}"/>
    <hyperlink ref="C9" r:id="rId8" display="mailto:rohit.kumar@gmail.com" xr:uid="{D51BB6DD-7CE8-47E7-A8E2-DD7EA2D4B4DD}"/>
    <hyperlink ref="C10" r:id="rId9" display="mailto:anjali.sharma@gmail.com" xr:uid="{29CA8FC0-A33D-4012-8CEB-CD9697E92BF4}"/>
    <hyperlink ref="C11" r:id="rId10" display="mailto:vikram.singh@yahoo.com" xr:uid="{4A12249C-FB4A-4522-84FF-5ADD4E5B24B7}"/>
    <hyperlink ref="C12" r:id="rId11" display="mailto:neha.patel@gmail.com" xr:uid="{9B4CF4B8-7AA3-4115-A664-C4E09740529A}"/>
    <hyperlink ref="C13" r:id="rId12" display="mailto:amit.gupta@gmail.com" xr:uid="{5622450A-1E95-440E-AB3D-22758964EA59}"/>
    <hyperlink ref="C14" r:id="rId13" display="mailto:pooja.nair@yahoo.com" xr:uid="{B6A0B4F9-098B-4671-83AC-75648B0D8950}"/>
    <hyperlink ref="C15" r:id="rId14" display="mailto:suresh.babu@gmail.com" xr:uid="{0137BE0B-0A8C-4D73-8CF1-C4D47CCFA7AF}"/>
    <hyperlink ref="C16" r:id="rId15" display="mailto:divya.reddy@gmail.com" xr:uid="{3501E415-3CB9-4B81-ACA0-F5A886041CD2}"/>
    <hyperlink ref="C17" r:id="rId16" display="mailto:naveen.kumar@yahoo.com" xr:uid="{C0FAAD72-BF57-4821-AE7F-7605012586E2}"/>
    <hyperlink ref="C18" r:id="rId17" display="mailto:swathi.rao@gmail.com" xr:uid="{4D7F550B-89EB-49F6-B13C-A1CAC9C8A0C4}"/>
    <hyperlink ref="C19" r:id="rId18" display="mailto:rahul.verma@gmail.com" xr:uid="{0BC2C5F5-1416-40A1-9CC2-9F2AF47F53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Adv.Xlookup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girishbhatlapenumarthi@outlook.com</cp:lastModifiedBy>
  <dcterms:created xsi:type="dcterms:W3CDTF">2026-09-10T17:11:08Z</dcterms:created>
  <dcterms:modified xsi:type="dcterms:W3CDTF">2026-09-30T07:04:56Z</dcterms:modified>
</cp:coreProperties>
</file>